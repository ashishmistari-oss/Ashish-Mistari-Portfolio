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ocuments\01. OTH Amberg\3rd Semester\Energy Management with AI Methods\Project\"/>
    </mc:Choice>
  </mc:AlternateContent>
  <xr:revisionPtr revIDLastSave="0" documentId="13_ncr:1_{CAFBE8A7-40C8-4DC1-85EB-782DB6AAFB53}" xr6:coauthVersionLast="47" xr6:coauthVersionMax="47" xr10:uidLastSave="{00000000-0000-0000-0000-000000000000}"/>
  <bookViews>
    <workbookView xWindow="-108" yWindow="-108" windowWidth="23256" windowHeight="13896" xr2:uid="{8DF56930-DE9A-4D30-B533-E5FFBF8BF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D13" i="1" l="1"/>
  <c r="D12" i="1"/>
  <c r="D23" i="1"/>
  <c r="D22" i="1"/>
  <c r="D21" i="1"/>
  <c r="D20" i="1"/>
  <c r="D19" i="1"/>
  <c r="D18" i="1"/>
  <c r="D17" i="1"/>
  <c r="D16" i="1"/>
  <c r="D15" i="1"/>
  <c r="D10" i="1"/>
  <c r="D11" i="1" s="1"/>
  <c r="D14" i="1" s="1"/>
  <c r="D7" i="1"/>
</calcChain>
</file>

<file path=xl/sharedStrings.xml><?xml version="1.0" encoding="utf-8"?>
<sst xmlns="http://schemas.openxmlformats.org/spreadsheetml/2006/main" count="41" uniqueCount="28">
  <si>
    <t>Effi. Fuel cell</t>
  </si>
  <si>
    <t>Effi. Electrolyzer</t>
  </si>
  <si>
    <t>Electricity demand Winter</t>
  </si>
  <si>
    <t>Energy required to fuel cell</t>
  </si>
  <si>
    <t>Electricity required for H2 production</t>
  </si>
  <si>
    <t>H2 Storage (by volume)</t>
  </si>
  <si>
    <t>LHV by volume</t>
  </si>
  <si>
    <t>kWh/m3</t>
  </si>
  <si>
    <t>kWh</t>
  </si>
  <si>
    <t>Electrical energy from 1 m3 of H2</t>
  </si>
  <si>
    <t>m3</t>
  </si>
  <si>
    <t>Total H2 required for Electricity Demand</t>
  </si>
  <si>
    <t>Linternal loss of H2 in storage</t>
  </si>
  <si>
    <t>Total H2 required to store</t>
  </si>
  <si>
    <t>Total Electricity needed H2 production</t>
  </si>
  <si>
    <t>Ideal gas volume</t>
  </si>
  <si>
    <t>Stoichiometric coefficient H2</t>
  </si>
  <si>
    <t>Stoichiometric coefficient O2</t>
  </si>
  <si>
    <t>m3/kmol</t>
  </si>
  <si>
    <t>kmol</t>
  </si>
  <si>
    <t>Stoichiometric coefficient water</t>
  </si>
  <si>
    <t>Volume of water</t>
  </si>
  <si>
    <t>Volume od H2</t>
  </si>
  <si>
    <t>Volume of O2</t>
  </si>
  <si>
    <t>Total Volume of water</t>
  </si>
  <si>
    <t>Total Volume od H2</t>
  </si>
  <si>
    <t>Total Volume of O2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</si>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</sst>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A586-0097-4EF8-A4F2-7AB64500858F}">
  <dimension ref="C3:J23"/>
  <sheetViews>
    <sheetView tabSelected="1" topLeftCell="B10" zoomScale="139" workbookViewId="0">
      <selection activeCell="I23" sqref="I23"/>
    </sheetView>
  </sheetViews>
  <sheetFormatPr defaultRowHeight="14.4" x14ac:dyDescent="0.3"/>
  <cols>
    <col min="3" max="3" width="34.21875" bestFit="1" customWidth="1"/>
    <col min="7" max="7" width="14.6640625" bestFit="1" customWidth="1"/>
  </cols>
  <sheetData>
    <row r="3" spans="3:9" x14ac:dyDescent="0.3">
      <c r="C3" t="s">
        <v>2</v>
      </c>
      <c r="D3">
        <v>200000</v>
      </c>
      <c r="E3" t="s">
        <v>8</v>
      </c>
      <c r="G3" t="s">
        <v>15</v>
      </c>
      <c r="H3">
        <v>22.414000000000001</v>
      </c>
      <c r="I3" t="s">
        <v>18</v>
      </c>
    </row>
    <row r="4" spans="3:9" x14ac:dyDescent="0.3">
      <c r="C4" t="s">
        <v>1</v>
      </c>
      <c r="D4" s="1">
        <v>0.5</v>
      </c>
    </row>
    <row r="5" spans="3:9" x14ac:dyDescent="0.3">
      <c r="C5" t="s">
        <v>4</v>
      </c>
      <c r="D5" s="1"/>
    </row>
    <row r="6" spans="3:9" x14ac:dyDescent="0.3">
      <c r="C6" t="s">
        <v>0</v>
      </c>
      <c r="D6" s="1">
        <v>0.46</v>
      </c>
    </row>
    <row r="7" spans="3:9" x14ac:dyDescent="0.3">
      <c r="C7" t="s">
        <v>3</v>
      </c>
      <c r="D7">
        <f>D3/D6</f>
        <v>434782.60869565216</v>
      </c>
      <c r="E7" t="s">
        <v>8</v>
      </c>
    </row>
    <row r="8" spans="3:9" x14ac:dyDescent="0.3">
      <c r="C8" t="s">
        <v>5</v>
      </c>
      <c r="D8" s="1">
        <v>7.0000000000000007E-2</v>
      </c>
    </row>
    <row r="9" spans="3:9" x14ac:dyDescent="0.3">
      <c r="C9" t="s">
        <v>6</v>
      </c>
      <c r="D9" s="2">
        <v>3</v>
      </c>
      <c r="E9" t="s">
        <v>7</v>
      </c>
    </row>
    <row r="10" spans="3:9" x14ac:dyDescent="0.3">
      <c r="C10" t="s">
        <v>9</v>
      </c>
      <c r="D10">
        <f>D9*D6</f>
        <v>1.3800000000000001</v>
      </c>
      <c r="E10" t="s">
        <v>7</v>
      </c>
    </row>
    <row r="11" spans="3:9" x14ac:dyDescent="0.3">
      <c r="C11" t="s">
        <v>11</v>
      </c>
      <c r="D11">
        <f>D3/D10</f>
        <v>144927.53623188403</v>
      </c>
      <c r="E11" t="s">
        <v>10</v>
      </c>
    </row>
    <row r="12" spans="3:9" x14ac:dyDescent="0.3">
      <c r="C12" t="s">
        <v>12</v>
      </c>
      <c r="D12">
        <f>D13*D8</f>
        <v>10908.524232507401</v>
      </c>
      <c r="E12" t="s">
        <v>10</v>
      </c>
    </row>
    <row r="13" spans="3:9" x14ac:dyDescent="0.3">
      <c r="C13" t="s">
        <v>13</v>
      </c>
      <c r="D13">
        <f>D11/0.93</f>
        <v>155836.06046439143</v>
      </c>
      <c r="E13" t="s">
        <v>10</v>
      </c>
    </row>
    <row r="14" spans="3:9" x14ac:dyDescent="0.3">
      <c r="C14" t="s">
        <v>14</v>
      </c>
      <c r="D14">
        <f>(D13*D9)/D4</f>
        <v>935016.36278634856</v>
      </c>
      <c r="E14" t="s">
        <v>8</v>
      </c>
    </row>
    <row r="15" spans="3:9" x14ac:dyDescent="0.3">
      <c r="C15" t="s">
        <v>16</v>
      </c>
      <c r="D15">
        <f>1/H3</f>
        <v>4.4614972784866598E-2</v>
      </c>
      <c r="E15" t="s">
        <v>19</v>
      </c>
    </row>
    <row r="16" spans="3:9" x14ac:dyDescent="0.3">
      <c r="C16" t="s">
        <v>17</v>
      </c>
      <c r="D16">
        <f>0.5/H3</f>
        <v>2.2307486392433299E-2</v>
      </c>
      <c r="E16" t="s">
        <v>19</v>
      </c>
    </row>
    <row r="17" spans="3:10" x14ac:dyDescent="0.3">
      <c r="C17" t="s">
        <v>20</v>
      </c>
      <c r="D17">
        <f>1/H3</f>
        <v>4.4614972784866598E-2</v>
      </c>
      <c r="E17" t="s">
        <v>19</v>
      </c>
    </row>
    <row r="18" spans="3:10" x14ac:dyDescent="0.3">
      <c r="C18" t="s">
        <v>21</v>
      </c>
      <c r="D18">
        <f>D15*2</f>
        <v>8.9229945569733196E-2</v>
      </c>
      <c r="E18" t="s">
        <v>10</v>
      </c>
    </row>
    <row r="19" spans="3:10" x14ac:dyDescent="0.3">
      <c r="C19" t="s">
        <v>22</v>
      </c>
      <c r="D19">
        <f>D16*16</f>
        <v>0.35691978227893278</v>
      </c>
      <c r="E19" t="s">
        <v>10</v>
      </c>
    </row>
    <row r="20" spans="3:10" x14ac:dyDescent="0.3">
      <c r="C20" t="s">
        <v>23</v>
      </c>
      <c r="D20">
        <f>D17*18</f>
        <v>0.80306951012759875</v>
      </c>
      <c r="E20" t="s">
        <v>10</v>
      </c>
    </row>
    <row r="21" spans="3:10" x14ac:dyDescent="0.3">
      <c r="C21" t="s">
        <v>24</v>
      </c>
      <c r="D21">
        <f>(D18/D19)*D13</f>
        <v>38959.015116097857</v>
      </c>
      <c r="E21" t="s">
        <v>10</v>
      </c>
      <c r="H21">
        <v>3753</v>
      </c>
      <c r="I21">
        <v>450</v>
      </c>
    </row>
    <row r="22" spans="3:10" x14ac:dyDescent="0.3">
      <c r="C22" t="s">
        <v>25</v>
      </c>
      <c r="D22">
        <f>D13</f>
        <v>155836.06046439143</v>
      </c>
      <c r="E22" t="s">
        <v>10</v>
      </c>
      <c r="I22">
        <f>H21*I21/1000</f>
        <v>1688.85</v>
      </c>
      <c r="J22" t="s">
        <v>27</v>
      </c>
    </row>
    <row r="23" spans="3:10" x14ac:dyDescent="0.3">
      <c r="C23" t="s">
        <v>26</v>
      </c>
      <c r="D23">
        <f>(D20/D19)*D13</f>
        <v>350631.13604488072</v>
      </c>
      <c r="E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mistari</dc:creator>
  <cp:lastModifiedBy>ashish mistari</cp:lastModifiedBy>
  <dcterms:created xsi:type="dcterms:W3CDTF">2026-01-14T19:29:40Z</dcterms:created>
  <dcterms:modified xsi:type="dcterms:W3CDTF">2026-01-14T23:07:07Z</dcterms:modified>
</cp:coreProperties>
</file>