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44f48505d92729/Documents/01. OTH Amberg/3rd Semester/Energy Management with AI Methods/Project/"/>
    </mc:Choice>
  </mc:AlternateContent>
  <xr:revisionPtr revIDLastSave="99" documentId="8_{7F92165A-F9E8-4F5E-A59C-A73E5B29D4D0}" xr6:coauthVersionLast="47" xr6:coauthVersionMax="47" xr10:uidLastSave="{AB3CFA90-31E3-43E9-BEE1-6B3B75AC66F8}"/>
  <bookViews>
    <workbookView xWindow="-108" yWindow="-108" windowWidth="23256" windowHeight="13896" xr2:uid="{DD744548-5118-4AA0-BB46-1F68E9516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<sst xmlns="http://schemas.openxmlformats.org/spreadsheetml/2006/main" count="52" uniqueCount="41">
  <si>
    <t>Component</t>
  </si>
  <si>
    <t>Annualised capex</t>
  </si>
  <si>
    <t>PV modules</t>
  </si>
  <si>
    <t xml:space="preserve">Cost of component </t>
  </si>
  <si>
    <t>Lifespan (Years)</t>
  </si>
  <si>
    <t>Total Investment cost (€)</t>
  </si>
  <si>
    <t>Inverter</t>
  </si>
  <si>
    <t>47 €/kW</t>
  </si>
  <si>
    <t>200 €/kWh</t>
  </si>
  <si>
    <t>Battery storage</t>
  </si>
  <si>
    <t>Electrolyser</t>
  </si>
  <si>
    <t>2290 €/kW</t>
  </si>
  <si>
    <t>Fuel cell</t>
  </si>
  <si>
    <t>1836.5 €/kW</t>
  </si>
  <si>
    <t>Hydrogen storage</t>
  </si>
  <si>
    <t>0.451 €/kWh</t>
  </si>
  <si>
    <t xml:space="preserve">Heat Pump </t>
  </si>
  <si>
    <t>4000 €/kW</t>
  </si>
  <si>
    <t>Subsidy</t>
  </si>
  <si>
    <t>Cost after subsidy</t>
  </si>
  <si>
    <t>55% KfW</t>
  </si>
  <si>
    <t>Gas Boiler</t>
  </si>
  <si>
    <t>74 €/kW</t>
  </si>
  <si>
    <t>Thermal storage</t>
  </si>
  <si>
    <t>8 €/kWh</t>
  </si>
  <si>
    <t>55% KfW + 2500€ (Häuser Programm, Bavaria)</t>
  </si>
  <si>
    <t>Diesel genset</t>
  </si>
  <si>
    <t>-</t>
  </si>
  <si>
    <t>Maintenance cost</t>
  </si>
  <si>
    <t>664 €/kW</t>
  </si>
  <si>
    <t>Grid reveneue</t>
  </si>
  <si>
    <t>Total</t>
  </si>
  <si>
    <t>Annualised capex (€)</t>
  </si>
  <si>
    <t xml:space="preserve">Cases </t>
  </si>
  <si>
    <t>Primary Energy consumption (kWh/a)</t>
  </si>
  <si>
    <t xml:space="preserve">Scenario 2 </t>
  </si>
  <si>
    <t xml:space="preserve">Scenario 1 </t>
  </si>
  <si>
    <t>Scenario 3</t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</si>
  <si>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Emmission (kg 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eq.)</t>
    </r>
  </si>
  <si>
    <t>Fuel cost</t>
  </si>
  <si>
    <t>Export Grid maintenance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</si>
</sst>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Ecological Comparison : Primary Energy Consumption and CO</a:t>
            </a:r>
            <a:r>
              <a:rPr lang="en-IN" baseline="-25000"/>
              <a:t>2</a:t>
            </a:r>
            <a:r>
              <a:rPr lang="en-IN"/>
              <a:t> Emmission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Primary Energy consumption (kWh/a)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Sheet1!$K$2:$K$4</c:f>
              <c:strCache>
                <c:ptCount val="3"/>
                <c:pt idx="0">
                  <c:v>Scenario 1 </c:v>
                </c:pt>
                <c:pt idx="1">
                  <c:v>Scenario 2 </c:v>
                </c:pt>
                <c:pt idx="2">
                  <c:v>Scenario 3</c:v>
                </c:pt>
              </c:strCache>
            </c:strRef>
          </c:cat>
          <c:val>
            <c:numRef>
              <c:f>Sheet1!$L$2:$L$4</c:f>
              <c:numCache>
                <c:formatCode>General</c:formatCode>
                <c:ptCount val="3"/>
                <c:pt idx="0">
                  <c:v>207028.81</c:v>
                </c:pt>
                <c:pt idx="1">
                  <c:v>1299860.46</c:v>
                </c:pt>
                <c:pt idx="2">
                  <c:v>1098282.3400000001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6-4FEE-9B3E-A36EA3378CE8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CO2 Emmission (kg CO2 eq.)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Sheet1!$K$2:$K$4</c:f>
              <c:strCache>
                <c:ptCount val="3"/>
                <c:pt idx="0">
                  <c:v>Scenario 1 </c:v>
                </c:pt>
                <c:pt idx="1">
                  <c:v>Scenario 2 </c:v>
                </c:pt>
                <c:pt idx="2">
                  <c:v>Scenario 3</c:v>
                </c:pt>
              </c:strCache>
            </c:strRef>
          </c:cat>
          <c:val>
            <c:numRef>
              <c:f>Sheet1!$M$2:$M$4</c:f>
              <c:numCache>
                <c:formatCode>General</c:formatCode>
                <c:ptCount val="3"/>
                <c:pt idx="0">
                  <c:v>45169.919999999998</c:v>
                </c:pt>
                <c:pt idx="1">
                  <c:v>340807.22</c:v>
                </c:pt>
                <c:pt idx="2">
                  <c:v>328829.96000000002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96-4FEE-9B3E-A36EA3378C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9960080"/>
        <c:axId val="1489950000"/>
      </c:barChart>
      <c:catAx>
        <c:axId val="148996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9950000"/>
        <c:crosses val="autoZero"/>
        <c:auto val="1"/>
        <c:lblAlgn val="ctr"/>
        <c:lblOffset val="100"/>
        <c:noMultiLvlLbl val="0"/>
      </c:catAx>
      <c:valAx>
        <c:axId val="148995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996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312420</xdr:colOff>
      <xdr:row>5</xdr:row>
      <xdr:rowOff>179070</xdr:rowOff>
    </xdr:from>
    <xdr:to>
      <xdr:col>15</xdr:col>
      <xdr:colOff>502920</xdr:colOff>
      <xdr:row>13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6882F-9C3D-6FD8-06EB-F0F5FE4BB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DE60-65DF-4F43-9064-C16AA7E2D060}">
  <dimension ref="A1:M28"/>
  <sheetViews>
    <sheetView tabSelected="1" zoomScale="70" zoomScaleNormal="70" workbookViewId="0">
      <selection activeCell="R10" sqref="R10"/>
    </sheetView>
  </sheetViews>
  <sheetFormatPr defaultRowHeight="14.4" x14ac:dyDescent="0.3"/>
  <cols>
    <col min="1" max="1" width="23" customWidth="1"/>
    <col min="2" max="2" width="18.88671875" customWidth="1"/>
    <col min="3" max="3" width="15.109375" bestFit="1" customWidth="1"/>
    <col min="6" max="6" width="13.33203125" customWidth="1"/>
    <col min="12" max="12" width="16.5546875" customWidth="1"/>
    <col min="13" max="13" width="11.77734375" customWidth="1"/>
  </cols>
  <sheetData>
    <row r="1" spans="1:13" ht="52.8" x14ac:dyDescent="0.3">
      <c r="A1" s="2" t="s">
        <v>0</v>
      </c>
      <c r="B1" s="2" t="s">
        <v>3</v>
      </c>
      <c r="C1" s="2" t="s">
        <v>4</v>
      </c>
      <c r="D1" s="2" t="s">
        <v>5</v>
      </c>
      <c r="E1" s="2" t="s">
        <v>18</v>
      </c>
      <c r="F1" s="2" t="s">
        <v>19</v>
      </c>
      <c r="G1" t="s">
        <v>1</v>
      </c>
      <c r="K1" s="2" t="s">
        <v>33</v>
      </c>
      <c r="L1" s="2" t="s">
        <v>34</v>
      </c>
      <c r="M1" s="2" t="s">
        <v>38</v>
      </c>
    </row>
    <row r="2" spans="1:13" ht="26.4" x14ac:dyDescent="0.3">
      <c r="A2" s="2" t="s">
        <v>2</v>
      </c>
      <c r="B2" s="1" t="s">
        <v>29</v>
      </c>
      <c r="C2" s="1">
        <v>25</v>
      </c>
      <c r="D2" s="1">
        <v>976080</v>
      </c>
      <c r="E2" s="1">
        <v>0</v>
      </c>
      <c r="F2" s="1">
        <v>976080</v>
      </c>
      <c r="K2" s="2" t="s">
        <v>36</v>
      </c>
      <c r="L2" s="4">
        <v>207028.81</v>
      </c>
      <c r="M2" s="4">
        <v>45169.919999999998</v>
      </c>
    </row>
    <row r="3" spans="1:13" ht="26.4" x14ac:dyDescent="0.3">
      <c r="A3" s="2" t="s">
        <v>6</v>
      </c>
      <c r="B3" s="1" t="s">
        <v>7</v>
      </c>
      <c r="C3" s="1">
        <v>10</v>
      </c>
      <c r="D3" s="1">
        <v>44650</v>
      </c>
      <c r="E3" s="1">
        <v>0</v>
      </c>
      <c r="F3" s="1">
        <v>44650</v>
      </c>
      <c r="K3" s="2" t="s">
        <v>35</v>
      </c>
      <c r="L3" s="1">
        <v>1299860.46</v>
      </c>
      <c r="M3" s="3">
        <v>340807.22</v>
      </c>
    </row>
    <row r="4" spans="1:13" ht="26.4" x14ac:dyDescent="0.3">
      <c r="A4" s="2" t="s">
        <v>9</v>
      </c>
      <c r="B4" s="1" t="s">
        <v>8</v>
      </c>
      <c r="C4" s="1">
        <v>15</v>
      </c>
      <c r="D4" s="1">
        <v>200000</v>
      </c>
      <c r="E4" s="1">
        <v>0</v>
      </c>
      <c r="F4" s="1">
        <v>200000</v>
      </c>
      <c r="K4" s="2" t="s">
        <v>37</v>
      </c>
      <c r="L4" s="3">
        <v>1098282.3400000001</v>
      </c>
      <c r="M4" s="3">
        <v>328829.96000000002</v>
      </c>
    </row>
    <row r="5" spans="1:13" x14ac:dyDescent="0.3">
      <c r="A5" s="2" t="s">
        <v>10</v>
      </c>
      <c r="B5" s="1" t="s">
        <v>11</v>
      </c>
      <c r="C5" s="1">
        <v>20</v>
      </c>
      <c r="D5" s="1">
        <v>274800</v>
      </c>
      <c r="E5" s="1">
        <v>0</v>
      </c>
      <c r="F5" s="1">
        <v>274800</v>
      </c>
    </row>
    <row r="6" spans="1:13" x14ac:dyDescent="0.3">
      <c r="A6" s="2" t="s">
        <v>12</v>
      </c>
      <c r="B6" s="1" t="s">
        <v>13</v>
      </c>
      <c r="C6" s="1">
        <v>20</v>
      </c>
      <c r="D6" s="1">
        <v>220380</v>
      </c>
      <c r="E6" s="1">
        <v>0</v>
      </c>
      <c r="F6" s="1">
        <v>220380</v>
      </c>
    </row>
    <row r="7" spans="1:13" x14ac:dyDescent="0.3">
      <c r="A7" s="2" t="s">
        <v>14</v>
      </c>
      <c r="B7" s="1" t="s">
        <v>15</v>
      </c>
      <c r="C7" s="1">
        <v>20</v>
      </c>
      <c r="D7" s="1">
        <v>76662.33</v>
      </c>
      <c r="E7" s="1">
        <v>0</v>
      </c>
      <c r="F7" s="1">
        <v>76662.33</v>
      </c>
    </row>
    <row r="8" spans="1:13" x14ac:dyDescent="0.3">
      <c r="A8" s="2" t="s">
        <v>16</v>
      </c>
      <c r="B8" s="1" t="s">
        <v>17</v>
      </c>
      <c r="C8" s="1">
        <v>25</v>
      </c>
      <c r="D8" s="1">
        <v>320000</v>
      </c>
      <c r="E8" s="1" t="s">
        <v>20</v>
      </c>
      <c r="F8" s="1">
        <v>144000</v>
      </c>
    </row>
    <row r="9" spans="1:13" x14ac:dyDescent="0.3">
      <c r="A9" s="2" t="s">
        <v>21</v>
      </c>
      <c r="B9" s="1" t="s">
        <v>22</v>
      </c>
      <c r="C9" s="1">
        <v>20</v>
      </c>
      <c r="D9" s="1">
        <v>11100</v>
      </c>
      <c r="E9" s="1">
        <v>0</v>
      </c>
      <c r="F9" s="1">
        <v>11100</v>
      </c>
    </row>
    <row r="10" spans="1:13" ht="79.2" x14ac:dyDescent="0.3">
      <c r="A10" s="2" t="s">
        <v>23</v>
      </c>
      <c r="B10" s="1" t="s">
        <v>24</v>
      </c>
      <c r="C10" s="1">
        <v>25</v>
      </c>
      <c r="D10" s="1">
        <v>480000</v>
      </c>
      <c r="E10" s="1" t="s">
        <v>25</v>
      </c>
      <c r="F10" s="1">
        <v>213500</v>
      </c>
    </row>
    <row r="11" spans="1:13" x14ac:dyDescent="0.3">
      <c r="A11" s="2" t="s">
        <v>26</v>
      </c>
      <c r="B11" s="1" t="s">
        <v>27</v>
      </c>
      <c r="C11" s="1">
        <v>25</v>
      </c>
      <c r="D11" s="1">
        <v>11000</v>
      </c>
      <c r="E11" s="1">
        <v>0</v>
      </c>
      <c r="F11" s="1">
        <v>11000</v>
      </c>
    </row>
    <row r="13" spans="1:13" x14ac:dyDescent="0.3">
      <c r="A13" s="6" t="s">
        <v>0</v>
      </c>
      <c r="B13" s="6" t="s">
        <v>32</v>
      </c>
    </row>
    <row r="14" spans="1:13" x14ac:dyDescent="0.3">
      <c r="A14" s="6" t="s">
        <v>2</v>
      </c>
      <c r="B14" s="3">
        <v>102357.63</v>
      </c>
    </row>
    <row r="15" spans="1:13" x14ac:dyDescent="0.3">
      <c r="A15" s="6" t="s">
        <v>6</v>
      </c>
      <c r="B15" s="3">
        <v>6066.5</v>
      </c>
    </row>
    <row r="16" spans="1:13" x14ac:dyDescent="0.3">
      <c r="A16" s="6" t="s">
        <v>9</v>
      </c>
      <c r="B16" s="3">
        <v>20592.55</v>
      </c>
    </row>
    <row r="17" spans="1:2" x14ac:dyDescent="0.3">
      <c r="A17" s="6" t="s">
        <v>10</v>
      </c>
      <c r="B17" s="3">
        <v>23958.32</v>
      </c>
    </row>
    <row r="18" spans="1:2" x14ac:dyDescent="0.3">
      <c r="A18" s="6" t="s">
        <v>12</v>
      </c>
      <c r="B18" s="3">
        <v>16011.44</v>
      </c>
    </row>
    <row r="19" spans="1:2" x14ac:dyDescent="0.3">
      <c r="A19" s="6" t="s">
        <v>14</v>
      </c>
      <c r="B19" s="5">
        <v>6684.44</v>
      </c>
    </row>
    <row r="20" spans="1:2" x14ac:dyDescent="0.3">
      <c r="A20" s="6" t="s">
        <v>16</v>
      </c>
      <c r="B20" s="3">
        <v>11264.65</v>
      </c>
    </row>
    <row r="21" spans="1:2" x14ac:dyDescent="0.3">
      <c r="A21" s="6" t="s">
        <v>21</v>
      </c>
      <c r="B21" s="3">
        <v>967.75</v>
      </c>
    </row>
    <row r="22" spans="1:2" x14ac:dyDescent="0.3">
      <c r="A22" s="6" t="s">
        <v>23</v>
      </c>
      <c r="B22" s="3">
        <v>16701.400000000001</v>
      </c>
    </row>
    <row r="23" spans="1:2" x14ac:dyDescent="0.3">
      <c r="A23" s="6" t="s">
        <v>26</v>
      </c>
      <c r="B23" s="3">
        <v>860.49</v>
      </c>
    </row>
    <row r="24" spans="1:2" x14ac:dyDescent="0.3">
      <c r="A24" s="6" t="s">
        <v>28</v>
      </c>
      <c r="B24" s="3">
        <v>49356.88</v>
      </c>
    </row>
    <row r="25" spans="1:2" x14ac:dyDescent="0.3">
      <c r="A25" s="6" t="s">
        <v>39</v>
      </c>
      <c r="B25" s="3">
        <v>15470.7</v>
      </c>
    </row>
    <row r="26" spans="1:2" ht="26.4" x14ac:dyDescent="0.3">
      <c r="A26" s="2" t="s">
        <v>40</v>
      </c>
      <c r="B26" s="3">
        <v>0</v>
      </c>
    </row>
    <row r="27" spans="1:2" x14ac:dyDescent="0.3">
      <c r="A27" s="6" t="s">
        <v>30</v>
      </c>
      <c r="B27" s="3">
        <v>-26692.38</v>
      </c>
    </row>
    <row r="28" spans="1:2" x14ac:dyDescent="0.3">
      <c r="A28" s="6" t="s">
        <v>31</v>
      </c>
      <c r="B28" s="7">
        <f>SUM(B14:B27)</f>
        <v>243600.37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VASIM CHUDESARA</dc:creator>
  <cp:lastModifiedBy>ashish mistari</cp:lastModifiedBy>
  <dcterms:created xsi:type="dcterms:W3CDTF">2026-01-25T12:54:16Z</dcterms:created>
  <dcterms:modified xsi:type="dcterms:W3CDTF">2026-09-04T07:53:45Z</dcterms:modified>
</cp:coreProperties>
</file>